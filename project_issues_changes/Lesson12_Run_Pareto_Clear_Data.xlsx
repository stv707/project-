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cognitoz001-my.sharepoint.com/personal/steve_cognitoz_net/Documents/comptia_project_slides/project-/project_issues_changes/"/>
    </mc:Choice>
  </mc:AlternateContent>
  <xr:revisionPtr revIDLastSave="3" documentId="11_C52183556A21E9A61277A5D62A08965140D569FB" xr6:coauthVersionLast="47" xr6:coauthVersionMax="47" xr10:uidLastSave="{CFA0E3D1-1D23-4AC8-B21D-BB22BA9FF8E7}"/>
  <bookViews>
    <workbookView xWindow="38280" yWindow="2415" windowWidth="29040" windowHeight="15720" xr2:uid="{00000000-000D-0000-FFFF-FFFF00000000}"/>
  </bookViews>
  <sheets>
    <sheet name="Run_Chart_Issues" sheetId="1" r:id="rId1"/>
    <sheet name="Pareto_Issue_Frequenc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2" l="1"/>
  <c r="C2" i="2"/>
  <c r="D6" i="2" s="1"/>
  <c r="D4" i="2"/>
  <c r="C3" i="2"/>
  <c r="C4" i="2"/>
  <c r="C5" i="2"/>
  <c r="C6" i="2"/>
  <c r="C11" i="1"/>
  <c r="C3" i="1"/>
  <c r="C4" i="1"/>
  <c r="C5" i="1"/>
  <c r="C6" i="1"/>
  <c r="C7" i="1"/>
  <c r="C8" i="1"/>
  <c r="C9" i="1"/>
  <c r="C10" i="1"/>
  <c r="C2" i="1"/>
  <c r="D2" i="2" l="1"/>
  <c r="D3" i="2"/>
  <c r="D5" i="2"/>
</calcChain>
</file>

<file path=xl/sharedStrings.xml><?xml version="1.0" encoding="utf-8"?>
<sst xmlns="http://schemas.openxmlformats.org/spreadsheetml/2006/main" count="13" uniqueCount="13">
  <si>
    <t>Week</t>
  </si>
  <si>
    <t>Open Issues</t>
  </si>
  <si>
    <t>Issue Category</t>
  </si>
  <si>
    <t>Number of Issues</t>
  </si>
  <si>
    <t>Unclear Requirements</t>
  </si>
  <si>
    <t>Unplanned Operational Work</t>
  </si>
  <si>
    <t>Cross-Team Dependencies</t>
  </si>
  <si>
    <t>Environment Issues</t>
  </si>
  <si>
    <t>Resource Availability</t>
  </si>
  <si>
    <t>Average</t>
  </si>
  <si>
    <t>Total Percentage</t>
  </si>
  <si>
    <t>Cummulative Percentage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</si>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</sst>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4">
    <xf numFmtId="0" fontId="0" fillId="0" borderId="0" xfId="0"/>
    <xf numFmtId="10" fontId="0" fillId="0" borderId="0" xfId="0" applyNumberFormat="1"/>
    <xf numFmtId="0" fontId="2" fillId="3" borderId="0" xfId="2"/>
    <xf numFmtId="0" fontId="1" fillId="2" borderId="0" xfId="1"/>
  </cellXfs>
  <cellStyles count="3">
    <cellStyle name="Good" xfId="1" builtinId="26"/>
    <cellStyle name="Neutral" xfId="2" builtinId="28"/>
    <cellStyle name="Normal" xfId="0" builtinId="0"/>
  </cellStyles>
  <dxfs count="2">
    <dxf>
      <numFmt numFmtId="14" formatCode="0.00%"/>
    </dxf>
    <dxf>
      <numFmt numFmtId="14" formatCode="0.00%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Run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Run_Chart_Issues!$B$1</c:f>
              <c:strCache>
                <c:ptCount val="1"/>
                <c:pt idx="0">
                  <c:v>Open Issues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Run_Chart_Issues!$B$2:$B$11</c:f>
              <c:numCache>
                <c:formatCode>General</c:formatCode>
                <c:ptCount val="10"/>
                <c:pt idx="0">
                  <c:v>28</c:v>
                </c:pt>
                <c:pt idx="1">
                  <c:v>34</c:v>
                </c:pt>
                <c:pt idx="2">
                  <c:v>27</c:v>
                </c:pt>
                <c:pt idx="3">
                  <c:v>25</c:v>
                </c:pt>
                <c:pt idx="4">
                  <c:v>23</c:v>
                </c:pt>
                <c:pt idx="5">
                  <c:v>28</c:v>
                </c:pt>
                <c:pt idx="6">
                  <c:v>20</c:v>
                </c:pt>
                <c:pt idx="7">
                  <c:v>32</c:v>
                </c:pt>
                <c:pt idx="8">
                  <c:v>22</c:v>
                </c:pt>
                <c:pt idx="9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89-491D-BF53-2DAE8991606A}"/>
            </c:ext>
          </c:extLst>
        </c:ser>
        <c:ser>
          <c:idx val="1"/>
          <c:order val="1"/>
          <c:tx>
            <c:strRef>
              <c:f>Run_Chart_Issues!$C$1</c:f>
              <c:strCache>
                <c:ptCount val="1"/>
                <c:pt idx="0">
                  <c:v>Average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Run_Chart_Issues!$C$2:$C$11</c:f>
              <c:numCache>
                <c:formatCode>General</c:formatCode>
                <c:ptCount val="10"/>
                <c:pt idx="0">
                  <c:v>26.4</c:v>
                </c:pt>
                <c:pt idx="1">
                  <c:v>26.4</c:v>
                </c:pt>
                <c:pt idx="2">
                  <c:v>26.4</c:v>
                </c:pt>
                <c:pt idx="3">
                  <c:v>26.4</c:v>
                </c:pt>
                <c:pt idx="4">
                  <c:v>26.4</c:v>
                </c:pt>
                <c:pt idx="5">
                  <c:v>26.4</c:v>
                </c:pt>
                <c:pt idx="6">
                  <c:v>26.4</c:v>
                </c:pt>
                <c:pt idx="7">
                  <c:v>26.4</c:v>
                </c:pt>
                <c:pt idx="8">
                  <c:v>26.4</c:v>
                </c:pt>
                <c:pt idx="9">
                  <c:v>26.4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89-491D-BF53-2DAE8991606A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6796768"/>
        <c:axId val="1736791488"/>
      </c:lineChart>
      <c:catAx>
        <c:axId val="173679676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Week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6791488"/>
        <c:crosses val="autoZero"/>
        <c:auto val="1"/>
        <c:lblAlgn val="ctr"/>
        <c:lblOffset val="100"/>
        <c:noMultiLvlLbl val="0"/>
      </c:catAx>
      <c:valAx>
        <c:axId val="1736791488"/>
        <c:scaling>
          <c:orientation val="minMax"/>
          <c:min val="12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in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  <a:alpha val="25000"/>
                    </a:schemeClr>
                  </a:gs>
                  <a:gs pos="0">
                    <a:schemeClr val="dk1">
                      <a:lumMod val="65000"/>
                      <a:lumOff val="35000"/>
                      <a:alpha val="25000"/>
                    </a:schemeClr>
                  </a:gs>
                </a:gsLst>
                <a:lin ang="5400000" scaled="0"/>
              </a:gra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Open Issues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679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rnd" cmpd="sng" algn="ctr">
      <a:solidFill>
        <a:schemeClr val="dk1">
          <a:lumMod val="15000"/>
          <a:lumOff val="85000"/>
        </a:schemeClr>
      </a:solidFill>
      <a:beve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MY"/>
              <a:t> Pareto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Pareto_Issue_Frequency!$B$1</c:f>
              <c:strCache>
                <c:ptCount val="1"/>
                <c:pt idx="0">
                  <c:v>Number of Issues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Pareto_Issue_Frequency!$A$2:$A$7</c:f>
              <c:strCache>
                <c:ptCount val="5"/>
                <c:pt idx="0">
                  <c:v>Unclear Requirements</c:v>
                </c:pt>
                <c:pt idx="1">
                  <c:v>Unplanned Operational Work</c:v>
                </c:pt>
                <c:pt idx="2">
                  <c:v>Cross-Team Dependencies</c:v>
                </c:pt>
                <c:pt idx="3">
                  <c:v>Environment Issues</c:v>
                </c:pt>
                <c:pt idx="4">
                  <c:v>Resource Availability</c:v>
                </c:pt>
              </c:strCache>
            </c:strRef>
          </c:cat>
          <c:val>
            <c:numRef>
              <c:f>Pareto_Issue_Frequency!$B$2:$B$7</c:f>
              <c:numCache>
                <c:formatCode>General</c:formatCode>
                <c:ptCount val="6"/>
                <c:pt idx="0">
                  <c:v>16</c:v>
                </c:pt>
                <c:pt idx="1">
                  <c:v>12</c:v>
                </c:pt>
                <c:pt idx="2">
                  <c:v>7</c:v>
                </c:pt>
                <c:pt idx="3">
                  <c:v>4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56-4120-932A-D513762DC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6850528"/>
        <c:axId val="1736851488"/>
      </c:barChart>
      <c:lineChart>
        <c:grouping val="standard"/>
        <c:varyColors val="0"/>
        <c:ser>
          <c:idx val="2"/>
          <c:order val="1"/>
          <c:tx>
            <c:strRef>
              <c:f>Pareto_Issue_Frequency!$D$1</c:f>
              <c:strCache>
                <c:ptCount val="1"/>
                <c:pt idx="0">
                  <c:v>Cummulative Percentage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Pareto_Issue_Frequency!$A$2:$A$7</c:f>
              <c:strCache>
                <c:ptCount val="5"/>
                <c:pt idx="0">
                  <c:v>Unclear Requirements</c:v>
                </c:pt>
                <c:pt idx="1">
                  <c:v>Unplanned Operational Work</c:v>
                </c:pt>
                <c:pt idx="2">
                  <c:v>Cross-Team Dependencies</c:v>
                </c:pt>
                <c:pt idx="3">
                  <c:v>Environment Issues</c:v>
                </c:pt>
                <c:pt idx="4">
                  <c:v>Resource Availability</c:v>
                </c:pt>
              </c:strCache>
            </c:strRef>
          </c:cat>
          <c:val>
            <c:numRef>
              <c:f>Pareto_Issue_Frequency!$D$2:$D$7</c:f>
              <c:numCache>
                <c:formatCode>0.00%</c:formatCode>
                <c:ptCount val="6"/>
                <c:pt idx="0">
                  <c:v>0.38095238095238093</c:v>
                </c:pt>
                <c:pt idx="1">
                  <c:v>0.66666666666666663</c:v>
                </c:pt>
                <c:pt idx="2">
                  <c:v>0.83333333333333326</c:v>
                </c:pt>
                <c:pt idx="3">
                  <c:v>0.92857142857142849</c:v>
                </c:pt>
                <c:pt idx="4">
                  <c:v>0.99999999999999989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56-4120-932A-D513762DC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6851968"/>
        <c:axId val="1736865408"/>
      </c:lineChart>
      <c:catAx>
        <c:axId val="1736850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6851488"/>
        <c:crosses val="autoZero"/>
        <c:auto val="1"/>
        <c:lblAlgn val="ctr"/>
        <c:lblOffset val="100"/>
        <c:noMultiLvlLbl val="0"/>
      </c:catAx>
      <c:valAx>
        <c:axId val="173685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6850528"/>
        <c:crosses val="autoZero"/>
        <c:crossBetween val="between"/>
      </c:valAx>
      <c:valAx>
        <c:axId val="1736865408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6851968"/>
        <c:crosses val="max"/>
        <c:crossBetween val="between"/>
      </c:valAx>
      <c:catAx>
        <c:axId val="17368519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36865408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</xdr:row>
      <xdr:rowOff>47625</xdr:rowOff>
    </xdr:from>
    <xdr:to>
      <xdr:col>19</xdr:col>
      <xdr:colOff>581025</xdr:colOff>
      <xdr:row>35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2E6EA2-6B62-95AF-DAB3-7155831433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723900</xdr:colOff>
      <xdr:row>6</xdr:row>
      <xdr:rowOff>152400</xdr:rowOff>
    </xdr:from>
    <xdr:to>
      <xdr:col>17</xdr:col>
      <xdr:colOff>457200</xdr:colOff>
      <xdr:row>35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A83D933-BABE-C224-700D-DB5BB8ED51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B42443-2539-4FB7-BFF1-A83F68BAA713}" name="Table1" displayName="Table1" ref="A1:C11" totalsRowShown="0">
  <autoFilter ref="A1:C11" xr:uid="{A6B42443-2539-4FB7-BFF1-A83F68BAA713}"/>
  <tableColumns count="3">
    <tableColumn id="1" xr3:uid="{F5524DC2-7DD6-420D-9423-1ACD7D9BCED8}" name="Week"/>
    <tableColumn id="2" xr3:uid="{33F340D5-AFF6-435C-82A4-7DF5239846D2}" name="Open Issues"/>
    <tableColumn id="3" xr3:uid="{842CACC1-AD35-4DFC-A9A2-577DA52A8E06}" name="Average">
      <calculatedColumnFormula>AVERAGE(B$2:B$11)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312D40-D345-4C22-9002-24F4F0D57D38}" name="Table2" displayName="Table2" ref="A1:D6" totalsRowShown="0">
  <autoFilter ref="A1:D6" xr:uid="{DD312D40-D345-4C22-9002-24F4F0D57D38}"/>
  <tableColumns count="4">
    <tableColumn id="1" xr3:uid="{3C118A5F-6FBD-4DCB-AFFD-C4CDC01FB9ED}" name="Issue Category"/>
    <tableColumn id="2" xr3:uid="{12304E90-608E-4C86-BF6D-88294E3E7377}" name="Number of Issues"/>
    <tableColumn id="3" xr3:uid="{D6E05FF1-2588-4909-87AC-87C91B9BEA58}" name="Total Percentage" dataDxfId="1">
      <calculatedColumnFormula>B2/SUM(B$2:B$6)</calculatedColumnFormula>
    </tableColumn>
    <tableColumn id="4" xr3:uid="{D3102892-8E97-4DBC-A4FA-4695685A922B}" name="Cummulative Percentage" dataDxfId="0">
      <calculatedColumnFormula>SUM(C$2:C2)</calculatedColumnFormula>
    </tableColumn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Y26" sqref="Y26"/>
    </sheetView>
  </sheetViews>
  <sheetFormatPr defaultRowHeight="15" x14ac:dyDescent="0.25"/>
  <cols>
    <col min="2" max="2" width="14" bestFit="1" customWidth="1"/>
    <col min="3" max="3" width="10.5703125" bestFit="1" customWidth="1"/>
  </cols>
  <sheetData>
    <row r="1" spans="1:3" x14ac:dyDescent="0.25">
      <c r="A1" t="s">
        <v>0</v>
      </c>
      <c r="B1" t="s">
        <v>1</v>
      </c>
      <c r="C1" t="s">
        <v>9</v>
      </c>
    </row>
    <row r="2" spans="1:3" x14ac:dyDescent="0.25">
      <c r="A2">
        <v>1</v>
      </c>
      <c r="B2">
        <v>28</v>
      </c>
      <c r="C2">
        <f>AVERAGE(B$2:B$11)</f>
        <v>26.4</v>
      </c>
    </row>
    <row r="3" spans="1:3" x14ac:dyDescent="0.25">
      <c r="A3">
        <v>2</v>
      </c>
      <c r="B3">
        <v>34</v>
      </c>
      <c r="C3">
        <f t="shared" ref="C3:C11" si="0">AVERAGE(B$2:B$11)</f>
        <v>26.4</v>
      </c>
    </row>
    <row r="4" spans="1:3" x14ac:dyDescent="0.25">
      <c r="A4">
        <v>3</v>
      </c>
      <c r="B4">
        <v>27</v>
      </c>
      <c r="C4">
        <f t="shared" si="0"/>
        <v>26.4</v>
      </c>
    </row>
    <row r="5" spans="1:3" x14ac:dyDescent="0.25">
      <c r="A5">
        <v>4</v>
      </c>
      <c r="B5">
        <v>25</v>
      </c>
      <c r="C5">
        <f t="shared" si="0"/>
        <v>26.4</v>
      </c>
    </row>
    <row r="6" spans="1:3" x14ac:dyDescent="0.25">
      <c r="A6">
        <v>5</v>
      </c>
      <c r="B6">
        <v>23</v>
      </c>
      <c r="C6">
        <f t="shared" si="0"/>
        <v>26.4</v>
      </c>
    </row>
    <row r="7" spans="1:3" x14ac:dyDescent="0.25">
      <c r="A7">
        <v>6</v>
      </c>
      <c r="B7">
        <v>28</v>
      </c>
      <c r="C7">
        <f t="shared" si="0"/>
        <v>26.4</v>
      </c>
    </row>
    <row r="8" spans="1:3" x14ac:dyDescent="0.25">
      <c r="A8">
        <v>7</v>
      </c>
      <c r="B8">
        <v>20</v>
      </c>
      <c r="C8">
        <f t="shared" si="0"/>
        <v>26.4</v>
      </c>
    </row>
    <row r="9" spans="1:3" x14ac:dyDescent="0.25">
      <c r="A9">
        <v>8</v>
      </c>
      <c r="B9">
        <v>32</v>
      </c>
      <c r="C9">
        <f t="shared" si="0"/>
        <v>26.4</v>
      </c>
    </row>
    <row r="10" spans="1:3" x14ac:dyDescent="0.25">
      <c r="A10">
        <v>9</v>
      </c>
      <c r="B10">
        <v>22</v>
      </c>
      <c r="C10">
        <f t="shared" si="0"/>
        <v>26.4</v>
      </c>
    </row>
    <row r="11" spans="1:3" x14ac:dyDescent="0.25">
      <c r="A11">
        <v>10</v>
      </c>
      <c r="B11">
        <v>25</v>
      </c>
      <c r="C11">
        <f>AVERAGE(B$2:B$11)</f>
        <v>26.4</v>
      </c>
    </row>
  </sheetData>
  <pageMargins left="0.75" right="0.75" top="1" bottom="1" header="0.5" footer="0.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>
      <selection activeCell="U17" sqref="U17"/>
    </sheetView>
  </sheetViews>
  <sheetFormatPr defaultRowHeight="15" x14ac:dyDescent="0.25"/>
  <cols>
    <col min="1" max="1" width="27.42578125" bestFit="1" customWidth="1"/>
    <col min="2" max="2" width="21.7109375" customWidth="1"/>
    <col min="3" max="3" width="18" customWidth="1"/>
    <col min="4" max="4" width="25.42578125" customWidth="1"/>
  </cols>
  <sheetData>
    <row r="1" spans="1:4" x14ac:dyDescent="0.25">
      <c r="A1" t="s">
        <v>2</v>
      </c>
      <c r="B1" t="s">
        <v>3</v>
      </c>
      <c r="C1" t="s">
        <v>10</v>
      </c>
      <c r="D1" t="s">
        <v>11</v>
      </c>
    </row>
    <row r="2" spans="1:4" x14ac:dyDescent="0.25">
      <c r="A2" t="s">
        <v>4</v>
      </c>
      <c r="B2">
        <v>16</v>
      </c>
      <c r="C2" s="1">
        <f>B2/SUM(B$2:B$6)</f>
        <v>0.38095238095238093</v>
      </c>
      <c r="D2" s="1">
        <f>C2</f>
        <v>0.38095238095238093</v>
      </c>
    </row>
    <row r="3" spans="1:4" x14ac:dyDescent="0.25">
      <c r="A3" t="s">
        <v>5</v>
      </c>
      <c r="B3">
        <v>12</v>
      </c>
      <c r="C3" s="1">
        <f t="shared" ref="C3:C6" si="0">B3/SUM(B$2:B$6)</f>
        <v>0.2857142857142857</v>
      </c>
      <c r="D3" s="1">
        <f>SUM(C$2:C3)</f>
        <v>0.66666666666666663</v>
      </c>
    </row>
    <row r="4" spans="1:4" x14ac:dyDescent="0.25">
      <c r="A4" t="s">
        <v>6</v>
      </c>
      <c r="B4">
        <v>7</v>
      </c>
      <c r="C4" s="1">
        <f t="shared" si="0"/>
        <v>0.16666666666666666</v>
      </c>
      <c r="D4" s="1">
        <f>SUM(C$2:C4)</f>
        <v>0.83333333333333326</v>
      </c>
    </row>
    <row r="5" spans="1:4" x14ac:dyDescent="0.25">
      <c r="A5" t="s">
        <v>7</v>
      </c>
      <c r="B5">
        <v>4</v>
      </c>
      <c r="C5" s="1">
        <f t="shared" si="0"/>
        <v>9.5238095238095233E-2</v>
      </c>
      <c r="D5" s="1">
        <f>SUM(C$2:C5)</f>
        <v>0.92857142857142849</v>
      </c>
    </row>
    <row r="6" spans="1:4" x14ac:dyDescent="0.25">
      <c r="A6" t="s">
        <v>8</v>
      </c>
      <c r="B6">
        <v>3</v>
      </c>
      <c r="C6" s="1">
        <f t="shared" si="0"/>
        <v>7.1428571428571425E-2</v>
      </c>
      <c r="D6" s="1">
        <f>SUM(C$2:C6)</f>
        <v>0.99999999999999989</v>
      </c>
    </row>
    <row r="8" spans="1:4" x14ac:dyDescent="0.25">
      <c r="A8" s="2" t="s">
        <v>12</v>
      </c>
      <c r="B8" s="3">
        <f>SUM(Table2[Number of Issues])</f>
        <v>42</v>
      </c>
    </row>
  </sheetData>
  <sortState xmlns:xlrd2="http://schemas.microsoft.com/office/spreadsheetml/2017/richdata2" ref="A2:B7">
    <sortCondition descending="1" ref="B1:B7"/>
  </sortState>
  <pageMargins left="0.75" right="0.75" top="1" bottom="1" header="0.5" footer="0.5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Run_Chart_Issues</vt:lpstr>
      <vt:lpstr>Pareto_Issue_Frequency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Nagen CogNet</cp:lastModifiedBy>
  <dcterms:created xsi:type="dcterms:W3CDTF">2025-12-18T15:54:14Z</dcterms:created>
  <dcterms:modified xsi:type="dcterms:W3CDTF">2025-12-18T16:50:16Z</dcterms:modified>
</cp:coreProperties>
</file>